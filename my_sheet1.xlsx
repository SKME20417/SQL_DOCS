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y265646\Downloads\Macro_work\"/>
    </mc:Choice>
  </mc:AlternateContent>
  <xr:revisionPtr revIDLastSave="0" documentId="13_ncr:1_{FBCB9C6F-005A-4D73-8097-5A44051F61AD}" xr6:coauthVersionLast="47" xr6:coauthVersionMax="47" xr10:uidLastSave="{00000000-0000-0000-0000-000000000000}"/>
  <bookViews>
    <workbookView xWindow="-110" yWindow="-110" windowWidth="19420" windowHeight="11500" firstSheet="3" activeTab="6" xr2:uid="{20146851-502D-403F-9BE3-4799AA8883A8}"/>
  </bookViews>
  <sheets>
    <sheet name="Pre_Training_Eval" sheetId="1" r:id="rId1"/>
    <sheet name="Training feedback_Post-Train" sheetId="2" r:id="rId2"/>
    <sheet name="Outcome capture" sheetId="3" r:id="rId3"/>
    <sheet name="Trainers_Comparison" sheetId="4" r:id="rId4"/>
    <sheet name="Trainer Form_Virtual" sheetId="5" r:id="rId5"/>
    <sheet name="Trainer Form_Classroom" sheetId="6" r:id="rId6"/>
    <sheet name="Dashboard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6" l="1"/>
  <c r="B51" i="6"/>
  <c r="B60" i="6" s="1"/>
  <c r="B42" i="6"/>
  <c r="B59" i="6" s="1"/>
  <c r="B33" i="6"/>
  <c r="B58" i="6" s="1"/>
  <c r="B25" i="6"/>
  <c r="B57" i="6" s="1"/>
  <c r="B17" i="6"/>
  <c r="B56" i="6" s="1"/>
  <c r="B61" i="6" s="1"/>
  <c r="C86" i="5" l="1"/>
  <c r="B81" i="5"/>
  <c r="B80" i="5"/>
  <c r="B79" i="5"/>
  <c r="B78" i="5"/>
  <c r="B72" i="5"/>
  <c r="B85" i="5" s="1"/>
  <c r="B64" i="5"/>
  <c r="B84" i="5" s="1"/>
  <c r="B56" i="5"/>
  <c r="B83" i="5" s="1"/>
  <c r="B48" i="5"/>
  <c r="B82" i="5" s="1"/>
  <c r="B40" i="5"/>
  <c r="B32" i="5"/>
  <c r="B25" i="5"/>
  <c r="B17" i="5"/>
  <c r="B86" i="5" l="1"/>
  <c r="H4" i="3"/>
  <c r="H3" i="3"/>
  <c r="H2" i="3"/>
  <c r="H5" i="3" s="1"/>
  <c r="H6" i="3" s="1"/>
  <c r="H7" i="3" s="1"/>
  <c r="H8" i="2"/>
  <c r="H7" i="2"/>
  <c r="H6" i="2"/>
  <c r="H5" i="2"/>
  <c r="H4" i="2"/>
  <c r="H3" i="2"/>
  <c r="H2" i="2"/>
  <c r="H10" i="2" s="1"/>
  <c r="H11" i="2" s="1"/>
  <c r="H12" i="2" s="1"/>
  <c r="H12" i="1"/>
  <c r="H11" i="1"/>
  <c r="H10" i="1"/>
  <c r="H9" i="1"/>
  <c r="H8" i="1"/>
  <c r="H7" i="1"/>
  <c r="H6" i="1"/>
  <c r="H5" i="1"/>
  <c r="H4" i="1"/>
  <c r="H3" i="1"/>
  <c r="H2" i="1"/>
  <c r="H14" i="1" s="1"/>
  <c r="H15" i="1" s="1"/>
  <c r="H16" i="1" s="1"/>
</calcChain>
</file>

<file path=xl/sharedStrings.xml><?xml version="1.0" encoding="utf-8"?>
<sst xmlns="http://schemas.openxmlformats.org/spreadsheetml/2006/main" count="276" uniqueCount="157">
  <si>
    <t>Trainer Name</t>
  </si>
  <si>
    <t>Date</t>
  </si>
  <si>
    <t>Category</t>
  </si>
  <si>
    <t>Parameter</t>
  </si>
  <si>
    <t>Weight</t>
  </si>
  <si>
    <t>Rating (1–5)</t>
  </si>
  <si>
    <t>Weighted Score</t>
  </si>
  <si>
    <t>Comments</t>
  </si>
  <si>
    <t>Sanjay Kumar</t>
  </si>
  <si>
    <t>Training Preparation &amp; Content Quality</t>
  </si>
  <si>
    <t>Session Planning &amp; Structure</t>
  </si>
  <si>
    <t>Content Creation &amp; Updation</t>
  </si>
  <si>
    <t>Customization for Audience</t>
  </si>
  <si>
    <t>Assessment &amp; Quiz Design</t>
  </si>
  <si>
    <t>Quality of Training Aids</t>
  </si>
  <si>
    <t>Reporting &amp; Compliance</t>
  </si>
  <si>
    <t>Pre-Training Reports &amp; LMS Upload</t>
  </si>
  <si>
    <t>Documentation &amp; Records</t>
  </si>
  <si>
    <t>Template &amp; Format Compliance</t>
  </si>
  <si>
    <t>Application of Domain Mastery</t>
  </si>
  <si>
    <t>Domain/Product understasnding and application</t>
  </si>
  <si>
    <t>Inclusion of relevant scenarios for training topics/understanding</t>
  </si>
  <si>
    <t>Additional Contribution</t>
  </si>
  <si>
    <t>Innovation / Process Support</t>
  </si>
  <si>
    <t>Total Score</t>
  </si>
  <si>
    <t>Ratings</t>
  </si>
  <si>
    <t>Final Rating</t>
  </si>
  <si>
    <t>(20% weightage)</t>
  </si>
  <si>
    <t>Program / Batch (If applicable)</t>
  </si>
  <si>
    <t>Training Delivery Quality</t>
  </si>
  <si>
    <t>Training objective, communication &amp; facilitation</t>
  </si>
  <si>
    <t>Learner Engagement</t>
  </si>
  <si>
    <t>Content Delivery Clarity</t>
  </si>
  <si>
    <t>Handling Q&amp;A Effectively</t>
  </si>
  <si>
    <t>Time &amp; Flow Management</t>
  </si>
  <si>
    <t>Domain / Product Understanding and application in delivery</t>
  </si>
  <si>
    <t>Inclusion of relevant scenario for training topic for understanding</t>
  </si>
  <si>
    <t>(30% weightage)</t>
  </si>
  <si>
    <t>Learner Outcomes</t>
  </si>
  <si>
    <t>As mentioned and not limited to sample  </t>
  </si>
  <si>
    <t>Assessment Capture &amp; Upload</t>
  </si>
  <si>
    <t>Attendance &amp; LMS Upload</t>
  </si>
  <si>
    <t>30% weightage)</t>
  </si>
  <si>
    <t>Function / LOB</t>
  </si>
  <si>
    <t>Location</t>
  </si>
  <si>
    <t>Pre Training Evaluation Rating</t>
  </si>
  <si>
    <t xml:space="preserve">Post Training Evaluation Rating ( Trainee) </t>
  </si>
  <si>
    <t xml:space="preserve">Learner Outcomes Evaluation </t>
  </si>
  <si>
    <t>Trainer Observation</t>
  </si>
  <si>
    <t>Total Rating (out of 5)</t>
  </si>
  <si>
    <t>Virtual Training – Trainer Observation Form</t>
  </si>
  <si>
    <t>SCORING GUIDELINES</t>
  </si>
  <si>
    <r>
      <t>Trainer Name:</t>
    </r>
    <r>
      <rPr>
        <sz val="12"/>
        <color theme="1"/>
        <rFont val="Aptos"/>
        <family val="2"/>
      </rPr>
      <t xml:space="preserve"> ____________________________</t>
    </r>
  </si>
  <si>
    <t>Score</t>
  </si>
  <si>
    <t>Description</t>
  </si>
  <si>
    <r>
      <t>Training Title:</t>
    </r>
    <r>
      <rPr>
        <sz val="12"/>
        <color theme="1"/>
        <rFont val="Aptos"/>
        <family val="2"/>
      </rPr>
      <t xml:space="preserve"> ____________________________</t>
    </r>
  </si>
  <si>
    <t>1 – Needs Improvement</t>
  </si>
  <si>
    <t>Behavior rarely demonstrated; negatively impacts session</t>
  </si>
  <si>
    <r>
      <t>Date:</t>
    </r>
    <r>
      <rPr>
        <sz val="12"/>
        <color theme="1"/>
        <rFont val="Aptos"/>
        <family val="2"/>
      </rPr>
      <t xml:space="preserve"> ____________________________</t>
    </r>
  </si>
  <si>
    <t>2 – Developing</t>
  </si>
  <si>
    <t>Behavior somewhat demonstrated; inconsistent</t>
  </si>
  <si>
    <r>
      <t>Observer:</t>
    </r>
    <r>
      <rPr>
        <sz val="12"/>
        <color theme="1"/>
        <rFont val="Aptos"/>
        <family val="2"/>
      </rPr>
      <t xml:space="preserve"> ____________________________</t>
    </r>
  </si>
  <si>
    <t>3 – Competent</t>
  </si>
  <si>
    <t>Behavior consistently demonstrated at an acceptable level</t>
  </si>
  <si>
    <t>Platform Used: (Zoom / Teams / Webex / Other) ___________________</t>
  </si>
  <si>
    <t>4 – Strong</t>
  </si>
  <si>
    <t>Behavior demonstrated frequently and effectively</t>
  </si>
  <si>
    <t>Type of Training:</t>
  </si>
  <si>
    <t>5 – Excellent</t>
  </si>
  <si>
    <t>Exceptional demonstration; model behavior</t>
  </si>
  <si>
    <t>A. SESSION PREPARATION &amp; TECH SETUP (Score 1– 3)</t>
  </si>
  <si>
    <t>Item</t>
  </si>
  <si>
    <t>Prepared training materials in advance</t>
  </si>
  <si>
    <t>Technology tested (audio, video, slides, tools)</t>
  </si>
  <si>
    <t>Shared clear joining instructions and expectations</t>
  </si>
  <si>
    <t>Sandbox allocated in advance(only applicable for tech)</t>
  </si>
  <si>
    <r>
      <t>Subtotal A:</t>
    </r>
    <r>
      <rPr>
        <sz val="12"/>
        <color theme="1"/>
        <rFont val="Aptos"/>
        <family val="2"/>
      </rPr>
      <t xml:space="preserve"> </t>
    </r>
  </si>
  <si>
    <t>out of 12</t>
  </si>
  <si>
    <t>B. CONTENT DELIVERY (Score 1–4)</t>
  </si>
  <si>
    <t>Delivered content clearly and accurately</t>
  </si>
  <si>
    <t>Pacing appropriate for audience (not too fast/slow)</t>
  </si>
  <si>
    <t>Used visuals/slides effectively, used hands-on wherever applicable</t>
  </si>
  <si>
    <t>Demonstrated expertise and confidence</t>
  </si>
  <si>
    <r>
      <t>Subtotal B:</t>
    </r>
    <r>
      <rPr>
        <sz val="12"/>
        <color theme="1"/>
        <rFont val="Aptos"/>
        <family val="2"/>
      </rPr>
      <t xml:space="preserve"> </t>
    </r>
  </si>
  <si>
    <t>out of 16</t>
  </si>
  <si>
    <t>C. ENGAGEMENT &amp; INTERACTION (Score 1–5)</t>
  </si>
  <si>
    <t>Used engagement tools (polls, chats, breakout rooms)</t>
  </si>
  <si>
    <t>Encouraged participation and responded to questions</t>
  </si>
  <si>
    <t>Maintained participant attention and energy, Adapted based on audience feedback or cues</t>
  </si>
  <si>
    <r>
      <t>Subtotal C:</t>
    </r>
    <r>
      <rPr>
        <sz val="12"/>
        <color theme="1"/>
        <rFont val="Aptos"/>
        <family val="2"/>
      </rPr>
      <t xml:space="preserve"> </t>
    </r>
  </si>
  <si>
    <t>out of 15</t>
  </si>
  <si>
    <t>D. VIRTUAL PRESENCE &amp; COMMUNICATION (Score 1–4)</t>
  </si>
  <si>
    <t>Clear verbal communication (tone, pace, volume)</t>
  </si>
  <si>
    <t>Positive body language and camera awareness, Professional demeanor/facilitation style</t>
  </si>
  <si>
    <t>Managed challenges calmly (technical or participant issues)</t>
  </si>
  <si>
    <r>
      <t>Subtotal D:</t>
    </r>
    <r>
      <rPr>
        <sz val="12"/>
        <color theme="1"/>
        <rFont val="Aptos"/>
        <family val="2"/>
      </rPr>
      <t xml:space="preserve"> </t>
    </r>
  </si>
  <si>
    <t>E. SESSION MANAGEMENT (Score 1– 4)</t>
  </si>
  <si>
    <t>Started and ended on time, Provided clear instructions for activities</t>
  </si>
  <si>
    <t>Followed agenda and kept session focused</t>
  </si>
  <si>
    <t>Managed time effectively for Q&amp;A, discussions, tasks</t>
  </si>
  <si>
    <t>Subtotal E:</t>
  </si>
  <si>
    <t>F. USE OF VIRTUAL TOOLS &amp; TECHNOLOGY (Score 1– 4)</t>
  </si>
  <si>
    <t>Effective use of screen sharing, demos, or simulations</t>
  </si>
  <si>
    <t>Smooth operation of platforms/tools (chat, breakout rooms, whiteboard)</t>
  </si>
  <si>
    <t>Audio/video quality maintained, Contingency handling for technical issues</t>
  </si>
  <si>
    <r>
      <t>Subtotal F:</t>
    </r>
    <r>
      <rPr>
        <sz val="12"/>
        <color theme="1"/>
        <rFont val="Aptos"/>
        <family val="2"/>
      </rPr>
      <t xml:space="preserve"> </t>
    </r>
  </si>
  <si>
    <t>G. ASSESSMENT &amp; REINFORCEMENT (Score 1– 4)</t>
  </si>
  <si>
    <t>Use of quizzes, hands-on exercises, labs, or assessments</t>
  </si>
  <si>
    <t>Provides timely and constructive feedback, Reinforces key learnings and takeaways</t>
  </si>
  <si>
    <t>Shares job-relevant examples and practical application steps</t>
  </si>
  <si>
    <r>
      <t>Subtotal G:</t>
    </r>
    <r>
      <rPr>
        <sz val="12"/>
        <color theme="1"/>
        <rFont val="Aptos"/>
        <family val="2"/>
      </rPr>
      <t xml:space="preserve"> </t>
    </r>
  </si>
  <si>
    <t>H. SUBJECT MATTER EXPERT (Score 1–3)</t>
  </si>
  <si>
    <t>Demonstrated strong knowledge of the topic</t>
  </si>
  <si>
    <t>Explained concepts clearly and accurately, Answered questions confidently</t>
  </si>
  <si>
    <t>Provided real-world examples / use cases</t>
  </si>
  <si>
    <r>
      <t>Subtotal H:</t>
    </r>
    <r>
      <rPr>
        <sz val="12"/>
        <color theme="1"/>
        <rFont val="Aptos"/>
        <family val="2"/>
      </rPr>
      <t xml:space="preserve"> </t>
    </r>
  </si>
  <si>
    <t>out of 9</t>
  </si>
  <si>
    <t>OVERALL SCORING</t>
  </si>
  <si>
    <t>Total</t>
  </si>
  <si>
    <t>A. Preparation &amp; Tech Setup</t>
  </si>
  <si>
    <t>B. Content Delivery</t>
  </si>
  <si>
    <t>C. Engagement &amp; Interaction</t>
  </si>
  <si>
    <t>D. Virtual Presence &amp; Communication</t>
  </si>
  <si>
    <t>E. Session Management</t>
  </si>
  <si>
    <t>F. Use of Virtual Tools &amp; Technology</t>
  </si>
  <si>
    <t>G. Assessment &amp; Reinforcement</t>
  </si>
  <si>
    <t>H. Subject Expert Matter</t>
  </si>
  <si>
    <r>
      <t>Total Score:</t>
    </r>
    <r>
      <rPr>
        <sz val="12"/>
        <color theme="1"/>
        <rFont val="Aptos"/>
        <family val="2"/>
      </rPr>
      <t xml:space="preserve"> out of 100</t>
    </r>
  </si>
  <si>
    <r>
      <t>Overall Rating:</t>
    </r>
    <r>
      <rPr>
        <sz val="12"/>
        <color theme="1"/>
        <rFont val="Aptos"/>
        <family val="2"/>
      </rPr>
      <t xml:space="preserve"> (Circle)</t>
    </r>
  </si>
  <si>
    <t>Needs Improvement / Developing / Competent / Strong / Excellent</t>
  </si>
  <si>
    <t>STRENGTHS OBSERVED</t>
  </si>
  <si>
    <t>AREAS FOR IMPROVEMENT</t>
  </si>
  <si>
    <t>RECOMMENDATIONS</t>
  </si>
  <si>
    <t>A. SESSION PREPARATION &amp; TECH SETUP (Score 1– 5)</t>
  </si>
  <si>
    <t>Classroom setup prepared in advance (seating, materials, equipment) </t>
  </si>
  <si>
    <t>Materials organized and distributed promptly </t>
  </si>
  <si>
    <t>Technology/equipment tested (projector, audio, etc.) </t>
  </si>
  <si>
    <t>Clear learning objectives presented </t>
  </si>
  <si>
    <t>out of 20</t>
  </si>
  <si>
    <t>B. CONTENT DELIVERY (Score 1 – 5)</t>
  </si>
  <si>
    <t>Training aligned with stated objectives </t>
  </si>
  <si>
    <t>C. ENGAGEMENT &amp; CLASSROOM MANAGEMENT (Score 1–5)</t>
  </si>
  <si>
    <t>Encouraged participation and discussion </t>
  </si>
  <si>
    <t>Asked meaningful questions to check understanding </t>
  </si>
  <si>
    <t>Maintained participant attention and focus</t>
  </si>
  <si>
    <t>Managed disruptive behavior or issues effectively </t>
  </si>
  <si>
    <t>D. FACILITATION SKILLS &amp; DELIVERY STYLE (Score 1–5)</t>
  </si>
  <si>
    <t>Positive body language and presence </t>
  </si>
  <si>
    <t>Stories/examples used effectively </t>
  </si>
  <si>
    <t>Adapted teaching approach based on audience needs </t>
  </si>
  <si>
    <t>E. SESSION FLOW &amp; TIME MANAGEMENT (Score 1–5) )</t>
  </si>
  <si>
    <t>Allocated time appropriately to each section </t>
  </si>
  <si>
    <t>A. Session Preparation and Tech Setup</t>
  </si>
  <si>
    <t>C. Engagement &amp; Classroom Management</t>
  </si>
  <si>
    <t>D. Facilitation Skills &amp; Delivery Style</t>
  </si>
  <si>
    <t>E. Session Flow &amp; Time Management</t>
  </si>
  <si>
    <t>Trainers Overall Score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</si>
</sst>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8"/>
      <color rgb="FF000000"/>
      <name val="Segoe UI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b/>
      <sz val="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59999389629810485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D9D9D9"/>
        <bgColor rgb="FFD9D9D9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16" fontId="0" fillId="3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 applyAlignment="1">
      <alignment horizontal="center"/>
    </xf>
    <xf numFmtId="0" fontId="0" fillId="3" borderId="0" xfId="0" applyFill="1"/>
    <xf numFmtId="0" fontId="0" fillId="3" borderId="5" xfId="0" applyFill="1" applyBorder="1"/>
    <xf numFmtId="0" fontId="0" fillId="3" borderId="6" xfId="0" applyFill="1" applyBorder="1" applyAlignment="1">
      <alignment horizontal="center"/>
    </xf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0" fontId="0" fillId="3" borderId="7" xfId="0" applyFill="1" applyBorder="1" applyAlignment="1">
      <alignment wrapText="1"/>
    </xf>
    <xf numFmtId="0" fontId="0" fillId="3" borderId="6" xfId="0" applyFill="1" applyBorder="1"/>
    <xf numFmtId="0" fontId="0" fillId="3" borderId="1" xfId="0" applyFill="1" applyBorder="1"/>
    <xf numFmtId="0" fontId="1" fillId="3" borderId="0" xfId="0" applyFont="1" applyFill="1"/>
    <xf numFmtId="0" fontId="0" fillId="3" borderId="4" xfId="0" applyFill="1" applyBorder="1"/>
    <xf numFmtId="16" fontId="0" fillId="3" borderId="2" xfId="0" applyNumberForma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1" fillId="3" borderId="7" xfId="0" applyFont="1" applyFill="1" applyBorder="1"/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0" xfId="0" applyFill="1"/>
    <xf numFmtId="0" fontId="0" fillId="4" borderId="4" xfId="0" applyFill="1" applyBorder="1"/>
    <xf numFmtId="0" fontId="0" fillId="4" borderId="5" xfId="0" applyFill="1" applyBorder="1"/>
    <xf numFmtId="0" fontId="2" fillId="4" borderId="0" xfId="0" applyFont="1" applyFill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2" fillId="5" borderId="7" xfId="0" applyFont="1" applyFill="1" applyBorder="1"/>
    <xf numFmtId="0" fontId="1" fillId="6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6" fillId="7" borderId="9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/>
    </xf>
    <xf numFmtId="0" fontId="8" fillId="0" borderId="17" xfId="0" applyFont="1" applyBorder="1" applyAlignment="1">
      <alignment horizontal="center"/>
    </xf>
    <xf numFmtId="0" fontId="0" fillId="0" borderId="18" xfId="0" applyBorder="1" applyAlignment="1">
      <alignment horizontal="left"/>
    </xf>
    <xf numFmtId="0" fontId="5" fillId="0" borderId="15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19" xfId="0" applyFont="1" applyBorder="1" applyAlignment="1">
      <alignment vertical="center"/>
    </xf>
    <xf numFmtId="0" fontId="8" fillId="0" borderId="18" xfId="0" applyFont="1" applyBorder="1" applyAlignment="1">
      <alignment horizontal="center"/>
    </xf>
    <xf numFmtId="0" fontId="4" fillId="7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/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vertical="center"/>
    </xf>
    <xf numFmtId="0" fontId="8" fillId="0" borderId="23" xfId="0" applyFont="1" applyBorder="1" applyAlignment="1">
      <alignment horizontal="center"/>
    </xf>
    <xf numFmtId="0" fontId="0" fillId="0" borderId="24" xfId="0" applyBorder="1" applyAlignment="1">
      <alignment horizontal="left"/>
    </xf>
    <xf numFmtId="0" fontId="5" fillId="0" borderId="25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0" fillId="0" borderId="26" xfId="0" applyFont="1" applyBorder="1"/>
    <xf numFmtId="0" fontId="8" fillId="0" borderId="24" xfId="0" applyFont="1" applyBorder="1" applyAlignment="1">
      <alignment horizontal="center"/>
    </xf>
    <xf numFmtId="0" fontId="11" fillId="0" borderId="0" xfId="0" applyFont="1"/>
  </cellXfs>
  <cellStyles count="1">
    <cellStyle name="Normal" xfId="0" builtinId="0"/>
  </cellStyles>
  <dxfs count="23">
    <dxf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indexed="64"/>
        </right>
        <top/>
        <bottom/>
      </border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theme="7"/>
        </patternFill>
      </fill>
      <alignment horizontal="center" vertical="center" textRotation="0" wrapText="1" indent="0" justifyLastLine="0" shrinkToFit="0" readingOrder="0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theme="7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Overall % by Trainer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[1]Trainers_Comparison!$A$2:$A$11</c:f>
              <c:strCache>
                <c:ptCount val="1"/>
                <c:pt idx="0">
                  <c:v>Sanjay Kumar</c:v>
                </c:pt>
              </c:strCache>
            </c:strRef>
          </c:cat>
          <c:val>
            <c:numRef>
              <c:f>Trainers_Comparison!#REF!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Trainers_Comparison!#REF!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E18-4AAA-AE3A-06A62E1B3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Trainer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Overall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69850</xdr:colOff>
          <xdr:row>7</xdr:row>
          <xdr:rowOff>114300</xdr:rowOff>
        </xdr:from>
        <xdr:to>
          <xdr:col>0</xdr:col>
          <xdr:colOff>1841500</xdr:colOff>
          <xdr:row>8</xdr:row>
          <xdr:rowOff>177800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4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Technical Skills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1803400</xdr:colOff>
          <xdr:row>7</xdr:row>
          <xdr:rowOff>107950</xdr:rowOff>
        </xdr:from>
        <xdr:to>
          <xdr:col>2</xdr:col>
          <xdr:colOff>952500</xdr:colOff>
          <xdr:row>8</xdr:row>
          <xdr:rowOff>152400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Domain/Functional Skills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3841750</xdr:colOff>
          <xdr:row>7</xdr:row>
          <xdr:rowOff>133350</xdr:rowOff>
        </xdr:from>
        <xdr:to>
          <xdr:col>2</xdr:col>
          <xdr:colOff>514350</xdr:colOff>
          <xdr:row>8</xdr:row>
          <xdr:rowOff>171450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Blended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69850</xdr:colOff>
          <xdr:row>7</xdr:row>
          <xdr:rowOff>114300</xdr:rowOff>
        </xdr:from>
        <xdr:to>
          <xdr:col>0</xdr:col>
          <xdr:colOff>1841500</xdr:colOff>
          <xdr:row>8</xdr:row>
          <xdr:rowOff>177800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Technical Skills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1803400</xdr:colOff>
          <xdr:row>7</xdr:row>
          <xdr:rowOff>107950</xdr:rowOff>
        </xdr:from>
        <xdr:to>
          <xdr:col>2</xdr:col>
          <xdr:colOff>952500</xdr:colOff>
          <xdr:row>8</xdr:row>
          <xdr:rowOff>152400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Domain/Functional Skills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3841750</xdr:colOff>
          <xdr:row>7</xdr:row>
          <xdr:rowOff>133350</xdr:rowOff>
        </xdr:from>
        <xdr:to>
          <xdr:col>2</xdr:col>
          <xdr:colOff>514350</xdr:colOff>
          <xdr:row>8</xdr:row>
          <xdr:rowOff>171450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Blended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412B52-53AD-4FA1-AFF7-B82D0D3B4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y265646\Downloads\Macro_work\Scorecard.xlsm" TargetMode="External"/><Relationship Id="rId1" Type="http://schemas.openxmlformats.org/officeDocument/2006/relationships/externalLinkPath" Target="Scorec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_Training_Eval"/>
      <sheetName val="Post_Training_Eval"/>
      <sheetName val="Learner Outcomes Evaluation"/>
      <sheetName val="Trainers_Comparison"/>
      <sheetName val="Dashboard"/>
    </sheetNames>
    <sheetDataSet>
      <sheetData sheetId="0"/>
      <sheetData sheetId="1"/>
      <sheetData sheetId="2"/>
      <sheetData sheetId="3">
        <row r="2">
          <cell r="A2" t="str">
            <v>Sanjay Kumar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FF503A-51C2-47E5-B263-510E3112A795}" name="tblPreEval" displayName="tblPreEval" ref="A1:I16" totalsRowShown="0" headerRowDxfId="22" dataDxfId="21" tableBorderDxfId="20">
  <tableColumns count="9">
    <tableColumn id="1" xr3:uid="{09907CC7-F06B-4D20-B419-2917DD12C0C5}" name="Trainer Name" dataDxfId="19"/>
    <tableColumn id="2" xr3:uid="{0BE2E5B7-3F69-47EE-A946-1FB2AA57C24F}" name="Program / Batch (If applicable)" dataDxfId="18"/>
    <tableColumn id="3" xr3:uid="{9019E0A4-D633-4B7A-B710-FAD0CAE2ACD1}" name="Date" dataDxfId="17"/>
    <tableColumn id="4" xr3:uid="{C619BDA7-343E-4167-B035-281F194105D5}" name="Category" dataDxfId="16"/>
    <tableColumn id="5" xr3:uid="{D96439F9-D676-4626-B51C-92A446334B89}" name="Parameter" dataDxfId="15"/>
    <tableColumn id="6" xr3:uid="{6E35408A-61AC-4E70-BC21-25E2768025F0}" name="Weight" dataDxfId="14"/>
    <tableColumn id="7" xr3:uid="{32CDEE21-134A-42F1-892A-7806ACE670B1}" name="Rating (1–5)" dataDxfId="13"/>
    <tableColumn id="8" xr3:uid="{5AB17C19-1E81-418A-9ACB-18FAAB7C648B}" name="Weighted Score" dataDxfId="12"/>
    <tableColumn id="9" xr3:uid="{8F522900-4275-45F4-A4E0-BD1CD14044E5}" name="Comments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234FC9-444C-464D-818C-C6AE0F812FAB}" name="tblPostEval" displayName="tblPostEval" ref="A1:I12" totalsRowShown="0" headerRowDxfId="10" dataDxfId="9">
  <tableColumns count="9">
    <tableColumn id="1" xr3:uid="{E0EC3780-88A7-4F21-BF8A-997FFC6EB4AF}" name="Trainer Name" dataDxfId="8"/>
    <tableColumn id="2" xr3:uid="{6735EF75-0C26-48B2-829B-2DA691946EEF}" name="Program / Batch (If applicable)" dataDxfId="7"/>
    <tableColumn id="3" xr3:uid="{48D4761E-9ABC-4C81-9123-5097DE312E9A}" name="Date" dataDxfId="6"/>
    <tableColumn id="4" xr3:uid="{84AA8361-A4B2-4040-9C51-AC138F2DB630}" name="Category" dataDxfId="5"/>
    <tableColumn id="5" xr3:uid="{367F63FC-43A7-4E99-8537-57B28C241082}" name="Parameter" dataDxfId="4"/>
    <tableColumn id="6" xr3:uid="{05F14348-74B3-4E90-9193-9D38DC54A2C4}" name="Weight" dataDxfId="3"/>
    <tableColumn id="7" xr3:uid="{6C23663C-5768-4532-ADC0-7C028A06B099}" name="Rating (1–5)" dataDxfId="2"/>
    <tableColumn id="8" xr3:uid="{747EBD45-BA6E-4307-AFB1-667833D48E06}" name="Weighted Score" dataDxfId="1"/>
    <tableColumn id="9" xr3:uid="{736CB50A-09CD-4251-A287-EBB5D0211901}" name="Comme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BEA2-7906-4EFC-912E-A8C2897A3CC4}">
  <dimension ref="A1:I16"/>
  <sheetViews>
    <sheetView workbookViewId="0">
      <selection activeCell="B20" sqref="B20"/>
    </sheetView>
  </sheetViews>
  <sheetFormatPr defaultRowHeight="14.5" x14ac:dyDescent="0.35"/>
  <cols>
    <col min="1" max="1" width="11.6328125" bestFit="1" customWidth="1"/>
    <col min="2" max="2" width="32.1796875" customWidth="1"/>
    <col min="3" max="3" width="9.08984375" bestFit="1" customWidth="1"/>
    <col min="4" max="4" width="32" bestFit="1" customWidth="1"/>
    <col min="5" max="5" width="40.26953125" bestFit="1" customWidth="1"/>
    <col min="6" max="6" width="7.7265625" customWidth="1"/>
    <col min="7" max="7" width="17.54296875" customWidth="1"/>
    <col min="8" max="8" width="17.26953125" customWidth="1"/>
    <col min="9" max="9" width="14.26953125" bestFit="1" customWidth="1"/>
  </cols>
  <sheetData>
    <row r="1" spans="1:9" ht="29" x14ac:dyDescent="0.3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2" t="s">
        <v>8</v>
      </c>
      <c r="B2" s="3">
        <v>45683</v>
      </c>
      <c r="C2" s="4">
        <v>46296</v>
      </c>
      <c r="D2" s="5" t="s">
        <v>9</v>
      </c>
      <c r="E2" s="6" t="s">
        <v>10</v>
      </c>
      <c r="F2" s="7">
        <v>5</v>
      </c>
      <c r="G2" s="6">
        <v>5</v>
      </c>
      <c r="H2" s="6">
        <f t="shared" ref="H2:H12" si="0">IF(G2="","",G2*F2)</f>
        <v>25</v>
      </c>
      <c r="I2" s="8"/>
    </row>
    <row r="3" spans="1:9" x14ac:dyDescent="0.35">
      <c r="A3" s="2"/>
      <c r="B3" s="2"/>
      <c r="C3" s="2"/>
      <c r="D3" s="9"/>
      <c r="E3" s="10" t="s">
        <v>11</v>
      </c>
      <c r="F3" s="2">
        <v>6</v>
      </c>
      <c r="G3" s="10">
        <v>5</v>
      </c>
      <c r="H3" s="10">
        <f t="shared" si="0"/>
        <v>30</v>
      </c>
      <c r="I3" s="11"/>
    </row>
    <row r="4" spans="1:9" x14ac:dyDescent="0.35">
      <c r="A4" s="2"/>
      <c r="B4" s="2"/>
      <c r="C4" s="2"/>
      <c r="D4" s="9"/>
      <c r="E4" s="10" t="s">
        <v>12</v>
      </c>
      <c r="F4" s="2">
        <v>5</v>
      </c>
      <c r="G4" s="10">
        <v>5</v>
      </c>
      <c r="H4" s="10">
        <f t="shared" si="0"/>
        <v>25</v>
      </c>
      <c r="I4" s="11"/>
    </row>
    <row r="5" spans="1:9" x14ac:dyDescent="0.35">
      <c r="A5" s="2"/>
      <c r="B5" s="2"/>
      <c r="C5" s="2"/>
      <c r="D5" s="12"/>
      <c r="E5" s="13" t="s">
        <v>13</v>
      </c>
      <c r="F5" s="14">
        <v>5</v>
      </c>
      <c r="G5" s="13">
        <v>3</v>
      </c>
      <c r="H5" s="13">
        <f t="shared" si="0"/>
        <v>15</v>
      </c>
      <c r="I5" s="15"/>
    </row>
    <row r="6" spans="1:9" x14ac:dyDescent="0.35">
      <c r="A6" s="2"/>
      <c r="B6" s="2"/>
      <c r="C6" s="2"/>
      <c r="D6" s="5"/>
      <c r="E6" s="6" t="s">
        <v>14</v>
      </c>
      <c r="F6" s="7">
        <v>3</v>
      </c>
      <c r="G6" s="6">
        <v>2</v>
      </c>
      <c r="H6" s="6">
        <f t="shared" si="0"/>
        <v>6</v>
      </c>
      <c r="I6" s="8"/>
    </row>
    <row r="7" spans="1:9" x14ac:dyDescent="0.35">
      <c r="A7" s="2"/>
      <c r="B7" s="2"/>
      <c r="C7" s="2"/>
      <c r="D7" s="9" t="s">
        <v>15</v>
      </c>
      <c r="E7" s="10" t="s">
        <v>16</v>
      </c>
      <c r="F7" s="2">
        <v>5</v>
      </c>
      <c r="G7" s="10">
        <v>5</v>
      </c>
      <c r="H7" s="10">
        <f t="shared" si="0"/>
        <v>25</v>
      </c>
      <c r="I7" s="11"/>
    </row>
    <row r="8" spans="1:9" x14ac:dyDescent="0.35">
      <c r="A8" s="2"/>
      <c r="B8" s="2"/>
      <c r="C8" s="2"/>
      <c r="D8" s="9"/>
      <c r="E8" s="10" t="s">
        <v>17</v>
      </c>
      <c r="F8" s="2">
        <v>5</v>
      </c>
      <c r="G8" s="10">
        <v>5</v>
      </c>
      <c r="H8" s="10">
        <f t="shared" si="0"/>
        <v>25</v>
      </c>
      <c r="I8" s="11"/>
    </row>
    <row r="9" spans="1:9" x14ac:dyDescent="0.35">
      <c r="A9" s="2"/>
      <c r="B9" s="2"/>
      <c r="C9" s="2"/>
      <c r="D9" s="12"/>
      <c r="E9" s="13" t="s">
        <v>18</v>
      </c>
      <c r="F9" s="14">
        <v>3</v>
      </c>
      <c r="G9" s="13">
        <v>5</v>
      </c>
      <c r="H9" s="13">
        <f t="shared" si="0"/>
        <v>15</v>
      </c>
      <c r="I9" s="15"/>
    </row>
    <row r="10" spans="1:9" x14ac:dyDescent="0.35">
      <c r="A10" s="2"/>
      <c r="B10" s="2"/>
      <c r="C10" s="2"/>
      <c r="D10" s="5" t="s">
        <v>19</v>
      </c>
      <c r="E10" s="6" t="s">
        <v>20</v>
      </c>
      <c r="F10" s="7">
        <v>6</v>
      </c>
      <c r="G10" s="6">
        <v>5</v>
      </c>
      <c r="H10" s="6">
        <f t="shared" si="0"/>
        <v>30</v>
      </c>
      <c r="I10" s="8"/>
    </row>
    <row r="11" spans="1:9" ht="29.5" customHeight="1" x14ac:dyDescent="0.35">
      <c r="A11" s="2"/>
      <c r="B11" s="2"/>
      <c r="C11" s="2"/>
      <c r="D11" s="12"/>
      <c r="E11" s="16" t="s">
        <v>21</v>
      </c>
      <c r="F11" s="14">
        <v>4</v>
      </c>
      <c r="G11" s="13">
        <v>5</v>
      </c>
      <c r="H11" s="13">
        <f t="shared" si="0"/>
        <v>20</v>
      </c>
      <c r="I11" s="15"/>
    </row>
    <row r="12" spans="1:9" x14ac:dyDescent="0.35">
      <c r="A12" s="2"/>
      <c r="B12" s="2"/>
      <c r="C12" s="2"/>
      <c r="D12" s="5" t="s">
        <v>22</v>
      </c>
      <c r="E12" s="6" t="s">
        <v>23</v>
      </c>
      <c r="F12" s="7">
        <v>3</v>
      </c>
      <c r="G12" s="6">
        <v>5</v>
      </c>
      <c r="H12" s="6">
        <f t="shared" si="0"/>
        <v>15</v>
      </c>
      <c r="I12" s="8"/>
    </row>
    <row r="13" spans="1:9" x14ac:dyDescent="0.35">
      <c r="A13" s="10"/>
      <c r="B13" s="10"/>
      <c r="C13" s="10"/>
      <c r="D13" s="17"/>
      <c r="E13" s="13"/>
      <c r="F13" s="13"/>
      <c r="G13" s="13"/>
      <c r="H13" s="13"/>
      <c r="I13" s="15"/>
    </row>
    <row r="14" spans="1:9" x14ac:dyDescent="0.35">
      <c r="A14" s="10"/>
      <c r="B14" s="10"/>
      <c r="C14" s="10"/>
      <c r="D14" s="18"/>
      <c r="E14" s="6"/>
      <c r="F14" s="8"/>
      <c r="G14" s="19" t="s">
        <v>24</v>
      </c>
      <c r="H14" s="10">
        <f>SUM(H2:H12)</f>
        <v>231</v>
      </c>
      <c r="I14" s="10"/>
    </row>
    <row r="15" spans="1:9" x14ac:dyDescent="0.35">
      <c r="A15" s="10"/>
      <c r="B15" s="10"/>
      <c r="C15" s="10"/>
      <c r="D15" s="20"/>
      <c r="E15" s="10"/>
      <c r="F15" s="11"/>
      <c r="G15" s="19" t="s">
        <v>25</v>
      </c>
      <c r="H15" s="10">
        <f>IF(H14="","",H14/50)</f>
        <v>4.62</v>
      </c>
      <c r="I15" s="10"/>
    </row>
    <row r="16" spans="1:9" x14ac:dyDescent="0.35">
      <c r="A16" s="10"/>
      <c r="B16" s="10"/>
      <c r="C16" s="10"/>
      <c r="D16" s="17"/>
      <c r="E16" s="13"/>
      <c r="F16" s="15"/>
      <c r="G16" s="19" t="s">
        <v>26</v>
      </c>
      <c r="H16" s="10">
        <f>H15*20/100</f>
        <v>0.92400000000000004</v>
      </c>
      <c r="I16" s="10" t="s">
        <v>27</v>
      </c>
    </row>
  </sheetData>
  <dataValidations count="1">
    <dataValidation type="list" allowBlank="1" showInputMessage="1" showErrorMessage="1" sqref="G2:G12" xr:uid="{41EB45EB-2DF0-4B2B-A70C-3D784D594C46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07CA-252C-48E7-BC3C-5D4E7577CAB1}">
  <dimension ref="A1:I12"/>
  <sheetViews>
    <sheetView workbookViewId="0">
      <selection activeCell="D7" sqref="D7"/>
    </sheetView>
  </sheetViews>
  <sheetFormatPr defaultRowHeight="14.5" x14ac:dyDescent="0.35"/>
  <cols>
    <col min="1" max="1" width="11.6328125" bestFit="1" customWidth="1"/>
    <col min="2" max="2" width="26.81640625" customWidth="1"/>
    <col min="3" max="3" width="9.08984375" bestFit="1" customWidth="1"/>
    <col min="4" max="4" width="25.6328125" bestFit="1" customWidth="1"/>
    <col min="5" max="5" width="39.6328125" bestFit="1" customWidth="1"/>
    <col min="6" max="6" width="6.81640625" bestFit="1" customWidth="1"/>
    <col min="7" max="7" width="20.26953125" customWidth="1"/>
    <col min="8" max="8" width="15.90625" customWidth="1"/>
    <col min="9" max="9" width="16.81640625" customWidth="1"/>
  </cols>
  <sheetData>
    <row r="1" spans="1:9" ht="29" x14ac:dyDescent="0.3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5" t="s">
        <v>8</v>
      </c>
      <c r="B2" s="21">
        <v>45683</v>
      </c>
      <c r="C2" s="22">
        <v>46296</v>
      </c>
      <c r="D2" s="5" t="s">
        <v>29</v>
      </c>
      <c r="E2" s="6" t="s">
        <v>30</v>
      </c>
      <c r="F2" s="7">
        <v>10</v>
      </c>
      <c r="G2" s="6">
        <v>5</v>
      </c>
      <c r="H2" s="6">
        <f t="shared" ref="H2:H8" si="0">IF(G2="","",G2*F2)</f>
        <v>50</v>
      </c>
      <c r="I2" s="8"/>
    </row>
    <row r="3" spans="1:9" x14ac:dyDescent="0.35">
      <c r="A3" s="9"/>
      <c r="B3" s="2"/>
      <c r="C3" s="2"/>
      <c r="D3" s="9"/>
      <c r="E3" s="10" t="s">
        <v>31</v>
      </c>
      <c r="F3" s="2">
        <v>7</v>
      </c>
      <c r="G3" s="10">
        <v>5</v>
      </c>
      <c r="H3" s="10">
        <f t="shared" si="0"/>
        <v>35</v>
      </c>
      <c r="I3" s="11"/>
    </row>
    <row r="4" spans="1:9" x14ac:dyDescent="0.35">
      <c r="A4" s="9"/>
      <c r="B4" s="2"/>
      <c r="C4" s="2"/>
      <c r="D4" s="9"/>
      <c r="E4" s="10" t="s">
        <v>32</v>
      </c>
      <c r="F4" s="2">
        <v>7</v>
      </c>
      <c r="G4" s="10">
        <v>3</v>
      </c>
      <c r="H4" s="10">
        <f t="shared" si="0"/>
        <v>21</v>
      </c>
      <c r="I4" s="11"/>
    </row>
    <row r="5" spans="1:9" x14ac:dyDescent="0.35">
      <c r="A5" s="9"/>
      <c r="B5" s="2"/>
      <c r="C5" s="2"/>
      <c r="D5" s="9"/>
      <c r="E5" s="10" t="s">
        <v>33</v>
      </c>
      <c r="F5" s="2">
        <v>6</v>
      </c>
      <c r="G5" s="10">
        <v>5</v>
      </c>
      <c r="H5" s="10">
        <f t="shared" si="0"/>
        <v>30</v>
      </c>
      <c r="I5" s="11"/>
    </row>
    <row r="6" spans="1:9" x14ac:dyDescent="0.35">
      <c r="A6" s="9"/>
      <c r="B6" s="2"/>
      <c r="C6" s="2"/>
      <c r="D6" s="12"/>
      <c r="E6" s="13" t="s">
        <v>34</v>
      </c>
      <c r="F6" s="14">
        <v>5</v>
      </c>
      <c r="G6" s="13">
        <v>5</v>
      </c>
      <c r="H6" s="13">
        <f t="shared" si="0"/>
        <v>25</v>
      </c>
      <c r="I6" s="15"/>
    </row>
    <row r="7" spans="1:9" ht="31.5" customHeight="1" x14ac:dyDescent="0.35">
      <c r="A7" s="9"/>
      <c r="B7" s="2"/>
      <c r="C7" s="2"/>
      <c r="D7" s="5" t="s">
        <v>19</v>
      </c>
      <c r="E7" s="23" t="s">
        <v>35</v>
      </c>
      <c r="F7" s="7">
        <v>10</v>
      </c>
      <c r="G7" s="6">
        <v>2</v>
      </c>
      <c r="H7" s="6">
        <f t="shared" si="0"/>
        <v>20</v>
      </c>
      <c r="I7" s="8"/>
    </row>
    <row r="8" spans="1:9" ht="30" customHeight="1" x14ac:dyDescent="0.35">
      <c r="A8" s="9"/>
      <c r="B8" s="2"/>
      <c r="C8" s="2"/>
      <c r="D8" s="12"/>
      <c r="E8" s="24" t="s">
        <v>36</v>
      </c>
      <c r="F8" s="14">
        <v>5</v>
      </c>
      <c r="G8" s="13">
        <v>5</v>
      </c>
      <c r="H8" s="13">
        <f t="shared" si="0"/>
        <v>25</v>
      </c>
      <c r="I8" s="15"/>
    </row>
    <row r="9" spans="1:9" x14ac:dyDescent="0.35">
      <c r="A9" s="20"/>
      <c r="B9" s="10"/>
      <c r="C9" s="10"/>
      <c r="D9" s="18"/>
      <c r="E9" s="6"/>
      <c r="F9" s="8"/>
      <c r="G9" s="10"/>
      <c r="H9" s="10"/>
      <c r="I9" s="11"/>
    </row>
    <row r="10" spans="1:9" x14ac:dyDescent="0.35">
      <c r="A10" s="20"/>
      <c r="B10" s="10"/>
      <c r="C10" s="10"/>
      <c r="D10" s="20"/>
      <c r="E10" s="10"/>
      <c r="F10" s="11"/>
      <c r="G10" s="19" t="s">
        <v>24</v>
      </c>
      <c r="H10" s="10">
        <f>SUM(H2:H8)</f>
        <v>206</v>
      </c>
      <c r="I10" s="11"/>
    </row>
    <row r="11" spans="1:9" x14ac:dyDescent="0.35">
      <c r="A11" s="20"/>
      <c r="B11" s="10"/>
      <c r="C11" s="10"/>
      <c r="D11" s="20"/>
      <c r="E11" s="10"/>
      <c r="F11" s="11"/>
      <c r="G11" s="19" t="s">
        <v>25</v>
      </c>
      <c r="H11" s="10">
        <f>IF(H10="","",H10/50)</f>
        <v>4.12</v>
      </c>
      <c r="I11" s="11"/>
    </row>
    <row r="12" spans="1:9" x14ac:dyDescent="0.35">
      <c r="A12" s="17"/>
      <c r="B12" s="13"/>
      <c r="C12" s="13"/>
      <c r="D12" s="17"/>
      <c r="E12" s="13"/>
      <c r="F12" s="15"/>
      <c r="G12" s="25" t="s">
        <v>26</v>
      </c>
      <c r="H12" s="13">
        <f>H11*30/100</f>
        <v>1.236</v>
      </c>
      <c r="I12" s="15" t="s">
        <v>37</v>
      </c>
    </row>
  </sheetData>
  <dataValidations count="1">
    <dataValidation type="list" allowBlank="1" showInputMessage="1" showErrorMessage="1" sqref="G2:G8" xr:uid="{02745FBC-A1F6-4920-BA26-CE07964EE36D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BBDF-7405-46E8-A422-63272201DBBE}">
  <dimension ref="A1:I7"/>
  <sheetViews>
    <sheetView workbookViewId="0">
      <selection activeCell="E12" sqref="E12"/>
    </sheetView>
  </sheetViews>
  <sheetFormatPr defaultRowHeight="14.5" x14ac:dyDescent="0.35"/>
  <cols>
    <col min="1" max="1" width="11.6328125" bestFit="1" customWidth="1"/>
    <col min="2" max="2" width="8.26953125" bestFit="1" customWidth="1"/>
    <col min="3" max="3" width="9.08984375" bestFit="1" customWidth="1"/>
    <col min="4" max="4" width="15.90625" bestFit="1" customWidth="1"/>
    <col min="5" max="5" width="33.6328125" bestFit="1" customWidth="1"/>
    <col min="6" max="6" width="6.81640625" bestFit="1" customWidth="1"/>
    <col min="7" max="7" width="10.7265625" bestFit="1" customWidth="1"/>
    <col min="8" max="8" width="7.81640625" bestFit="1" customWidth="1"/>
    <col min="9" max="9" width="13.6328125" bestFit="1" customWidth="1"/>
  </cols>
  <sheetData>
    <row r="1" spans="1:9" ht="72.5" x14ac:dyDescent="0.3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5" t="s">
        <v>8</v>
      </c>
      <c r="B2" s="21">
        <v>45683</v>
      </c>
      <c r="C2" s="22">
        <v>46296</v>
      </c>
      <c r="D2" s="5" t="s">
        <v>38</v>
      </c>
      <c r="E2" s="7" t="s">
        <v>39</v>
      </c>
      <c r="F2" s="7">
        <v>15</v>
      </c>
      <c r="G2" s="7">
        <v>1</v>
      </c>
      <c r="H2" s="7">
        <f t="shared" ref="H2:H4" si="0">IF(G2="","",G2*F2)</f>
        <v>15</v>
      </c>
      <c r="I2" s="26"/>
    </row>
    <row r="3" spans="1:9" x14ac:dyDescent="0.35">
      <c r="A3" s="20"/>
      <c r="B3" s="10"/>
      <c r="C3" s="2"/>
      <c r="D3" s="9"/>
      <c r="E3" s="2" t="s">
        <v>40</v>
      </c>
      <c r="F3" s="2">
        <v>5</v>
      </c>
      <c r="G3" s="2">
        <v>3</v>
      </c>
      <c r="H3" s="2">
        <f t="shared" si="0"/>
        <v>15</v>
      </c>
      <c r="I3" s="27"/>
    </row>
    <row r="4" spans="1:9" x14ac:dyDescent="0.35">
      <c r="A4" s="20"/>
      <c r="B4" s="10"/>
      <c r="C4" s="2"/>
      <c r="D4" s="12"/>
      <c r="E4" s="14" t="s">
        <v>41</v>
      </c>
      <c r="F4" s="14">
        <v>5</v>
      </c>
      <c r="G4" s="14">
        <v>4</v>
      </c>
      <c r="H4" s="14">
        <f t="shared" si="0"/>
        <v>20</v>
      </c>
      <c r="I4" s="28"/>
    </row>
    <row r="5" spans="1:9" x14ac:dyDescent="0.35">
      <c r="A5" s="20"/>
      <c r="B5" s="10"/>
      <c r="C5" s="2"/>
      <c r="D5" s="5"/>
      <c r="E5" s="7"/>
      <c r="F5" s="26"/>
      <c r="G5" s="2" t="s">
        <v>24</v>
      </c>
      <c r="H5" s="2">
        <f>SUM(H2:H4)</f>
        <v>50</v>
      </c>
      <c r="I5" s="27"/>
    </row>
    <row r="6" spans="1:9" x14ac:dyDescent="0.35">
      <c r="A6" s="20"/>
      <c r="B6" s="10"/>
      <c r="C6" s="29"/>
      <c r="D6" s="30"/>
      <c r="E6" s="29"/>
      <c r="F6" s="31"/>
      <c r="G6" s="32" t="s">
        <v>25</v>
      </c>
      <c r="H6" s="29">
        <f>IF(H5="","",H5/25)</f>
        <v>2</v>
      </c>
      <c r="I6" s="31"/>
    </row>
    <row r="7" spans="1:9" x14ac:dyDescent="0.35">
      <c r="A7" s="17"/>
      <c r="B7" s="13"/>
      <c r="C7" s="33"/>
      <c r="D7" s="34"/>
      <c r="E7" s="33"/>
      <c r="F7" s="35"/>
      <c r="G7" s="36" t="s">
        <v>26</v>
      </c>
      <c r="H7" s="33">
        <f>H6*30/100</f>
        <v>0.6</v>
      </c>
      <c r="I7" s="35" t="s">
        <v>42</v>
      </c>
    </row>
  </sheetData>
  <dataValidations count="1">
    <dataValidation type="list" allowBlank="1" showInputMessage="1" showErrorMessage="1" sqref="G2:G4" xr:uid="{2EA98B89-00DD-4902-B676-AC5709F9773F}">
      <formula1>"1,2,3,4,5"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1250-BCC5-4A31-80E6-959102630E6C}">
  <dimension ref="A1:H1"/>
  <sheetViews>
    <sheetView workbookViewId="0">
      <selection activeCell="D14" sqref="D14"/>
    </sheetView>
  </sheetViews>
  <sheetFormatPr defaultRowHeight="14.5" x14ac:dyDescent="0.35"/>
  <cols>
    <col min="1" max="1" width="12.1796875" bestFit="1" customWidth="1"/>
    <col min="2" max="2" width="13.1796875" bestFit="1" customWidth="1"/>
    <col min="3" max="3" width="7.90625" bestFit="1" customWidth="1"/>
    <col min="4" max="4" width="26.1796875" bestFit="1" customWidth="1"/>
    <col min="5" max="5" width="36.1796875" bestFit="1" customWidth="1"/>
    <col min="6" max="6" width="26.26953125" bestFit="1" customWidth="1"/>
    <col min="7" max="7" width="17.7265625" bestFit="1" customWidth="1"/>
    <col min="8" max="8" width="19.26953125" bestFit="1" customWidth="1"/>
  </cols>
  <sheetData>
    <row r="1" spans="1:8" x14ac:dyDescent="0.35">
      <c r="A1" s="37" t="s">
        <v>0</v>
      </c>
      <c r="B1" s="37" t="s">
        <v>43</v>
      </c>
      <c r="C1" s="37" t="s">
        <v>44</v>
      </c>
      <c r="D1" s="37" t="s">
        <v>45</v>
      </c>
      <c r="E1" s="37" t="s">
        <v>46</v>
      </c>
      <c r="F1" s="37" t="s">
        <v>47</v>
      </c>
      <c r="G1" s="37" t="s">
        <v>48</v>
      </c>
      <c r="H1" s="37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19E3-130B-40D4-8581-F0F940D7C118}">
  <dimension ref="A1:F100"/>
  <sheetViews>
    <sheetView topLeftCell="A92" workbookViewId="0">
      <selection activeCell="C99" sqref="C99"/>
    </sheetView>
  </sheetViews>
  <sheetFormatPr defaultRowHeight="14.5" x14ac:dyDescent="0.35"/>
  <cols>
    <col min="1" max="1" width="80.1796875" customWidth="1"/>
    <col min="3" max="3" width="49.7265625" customWidth="1"/>
    <col min="5" max="5" width="25.26953125" bestFit="1" customWidth="1"/>
    <col min="6" max="6" width="58.81640625" customWidth="1"/>
  </cols>
  <sheetData>
    <row r="1" spans="1:6" ht="16" x14ac:dyDescent="0.35">
      <c r="A1" s="38" t="s">
        <v>50</v>
      </c>
      <c r="E1" s="38" t="s">
        <v>51</v>
      </c>
    </row>
    <row r="2" spans="1:6" ht="16" x14ac:dyDescent="0.35">
      <c r="A2" s="38" t="s">
        <v>52</v>
      </c>
      <c r="E2" s="39" t="s">
        <v>53</v>
      </c>
      <c r="F2" s="39" t="s">
        <v>54</v>
      </c>
    </row>
    <row r="3" spans="1:6" ht="16" x14ac:dyDescent="0.35">
      <c r="A3" s="38" t="s">
        <v>55</v>
      </c>
      <c r="E3" s="40" t="s">
        <v>56</v>
      </c>
      <c r="F3" s="41" t="s">
        <v>57</v>
      </c>
    </row>
    <row r="4" spans="1:6" ht="16" x14ac:dyDescent="0.35">
      <c r="A4" s="38" t="s">
        <v>58</v>
      </c>
      <c r="E4" s="40" t="s">
        <v>59</v>
      </c>
      <c r="F4" s="41" t="s">
        <v>60</v>
      </c>
    </row>
    <row r="5" spans="1:6" ht="16" x14ac:dyDescent="0.35">
      <c r="A5" s="38" t="s">
        <v>61</v>
      </c>
      <c r="E5" s="40" t="s">
        <v>62</v>
      </c>
      <c r="F5" s="41" t="s">
        <v>63</v>
      </c>
    </row>
    <row r="6" spans="1:6" ht="16" x14ac:dyDescent="0.35">
      <c r="A6" s="38" t="s">
        <v>64</v>
      </c>
      <c r="E6" s="40" t="s">
        <v>65</v>
      </c>
      <c r="F6" s="41" t="s">
        <v>66</v>
      </c>
    </row>
    <row r="7" spans="1:6" ht="16" x14ac:dyDescent="0.35">
      <c r="A7" s="38" t="s">
        <v>67</v>
      </c>
      <c r="E7" s="40" t="s">
        <v>68</v>
      </c>
      <c r="F7" s="41" t="s">
        <v>69</v>
      </c>
    </row>
    <row r="8" spans="1:6" ht="32.25" customHeight="1" x14ac:dyDescent="0.35">
      <c r="A8" s="42"/>
    </row>
    <row r="10" spans="1:6" ht="15" thickBot="1" x14ac:dyDescent="0.4"/>
    <row r="11" spans="1:6" ht="16.5" thickBot="1" x14ac:dyDescent="0.4">
      <c r="A11" s="43" t="s">
        <v>70</v>
      </c>
    </row>
    <row r="12" spans="1:6" ht="16" x14ac:dyDescent="0.35">
      <c r="A12" s="44" t="s">
        <v>71</v>
      </c>
      <c r="B12" s="45" t="s">
        <v>53</v>
      </c>
      <c r="C12" s="46" t="s">
        <v>7</v>
      </c>
    </row>
    <row r="13" spans="1:6" ht="16" x14ac:dyDescent="0.35">
      <c r="A13" s="47" t="s">
        <v>72</v>
      </c>
      <c r="B13" s="48">
        <v>1</v>
      </c>
      <c r="C13" s="49"/>
    </row>
    <row r="14" spans="1:6" ht="16" x14ac:dyDescent="0.35">
      <c r="A14" s="47" t="s">
        <v>73</v>
      </c>
      <c r="B14" s="48">
        <v>2</v>
      </c>
      <c r="C14" s="49"/>
    </row>
    <row r="15" spans="1:6" ht="16" x14ac:dyDescent="0.35">
      <c r="A15" s="47" t="s">
        <v>74</v>
      </c>
      <c r="B15" s="48">
        <v>2</v>
      </c>
      <c r="C15" s="49"/>
    </row>
    <row r="16" spans="1:6" ht="16" x14ac:dyDescent="0.35">
      <c r="A16" s="47" t="s">
        <v>75</v>
      </c>
      <c r="B16" s="48">
        <v>1</v>
      </c>
      <c r="C16" s="49"/>
    </row>
    <row r="17" spans="1:3" ht="16.5" thickBot="1" x14ac:dyDescent="0.45">
      <c r="A17" s="50" t="s">
        <v>76</v>
      </c>
      <c r="B17" s="51">
        <f>SUM(B13:B16)</f>
        <v>6</v>
      </c>
      <c r="C17" s="52" t="s">
        <v>77</v>
      </c>
    </row>
    <row r="18" spans="1:3" ht="15" thickBot="1" x14ac:dyDescent="0.4"/>
    <row r="19" spans="1:3" ht="16.5" thickBot="1" x14ac:dyDescent="0.4">
      <c r="A19" s="43" t="s">
        <v>78</v>
      </c>
    </row>
    <row r="20" spans="1:3" ht="16" x14ac:dyDescent="0.35">
      <c r="A20" s="44" t="s">
        <v>71</v>
      </c>
      <c r="B20" s="45" t="s">
        <v>53</v>
      </c>
      <c r="C20" s="46" t="s">
        <v>7</v>
      </c>
    </row>
    <row r="21" spans="1:3" ht="16" x14ac:dyDescent="0.35">
      <c r="A21" s="47" t="s">
        <v>79</v>
      </c>
      <c r="B21" s="48">
        <v>1</v>
      </c>
      <c r="C21" s="49"/>
    </row>
    <row r="22" spans="1:3" ht="16" x14ac:dyDescent="0.35">
      <c r="A22" s="47" t="s">
        <v>80</v>
      </c>
      <c r="B22" s="48">
        <v>2</v>
      </c>
      <c r="C22" s="49"/>
    </row>
    <row r="23" spans="1:3" ht="16" x14ac:dyDescent="0.35">
      <c r="A23" s="47" t="s">
        <v>81</v>
      </c>
      <c r="B23" s="48">
        <v>5</v>
      </c>
      <c r="C23" s="49"/>
    </row>
    <row r="24" spans="1:3" ht="16" x14ac:dyDescent="0.35">
      <c r="A24" s="47" t="s">
        <v>82</v>
      </c>
      <c r="B24" s="48">
        <v>4</v>
      </c>
      <c r="C24" s="49"/>
    </row>
    <row r="25" spans="1:3" ht="16.5" thickBot="1" x14ac:dyDescent="0.45">
      <c r="A25" s="50" t="s">
        <v>83</v>
      </c>
      <c r="B25" s="51">
        <f>SUM(B21:B24)</f>
        <v>12</v>
      </c>
      <c r="C25" s="52" t="s">
        <v>84</v>
      </c>
    </row>
    <row r="26" spans="1:3" ht="15" thickBot="1" x14ac:dyDescent="0.4"/>
    <row r="27" spans="1:3" ht="16.5" thickBot="1" x14ac:dyDescent="0.4">
      <c r="A27" s="43" t="s">
        <v>85</v>
      </c>
    </row>
    <row r="28" spans="1:3" ht="16" x14ac:dyDescent="0.35">
      <c r="A28" s="44" t="s">
        <v>71</v>
      </c>
      <c r="B28" s="45" t="s">
        <v>53</v>
      </c>
      <c r="C28" s="46" t="s">
        <v>7</v>
      </c>
    </row>
    <row r="29" spans="1:3" ht="16" x14ac:dyDescent="0.35">
      <c r="A29" s="47" t="s">
        <v>86</v>
      </c>
      <c r="B29" s="48">
        <v>2</v>
      </c>
      <c r="C29" s="53"/>
    </row>
    <row r="30" spans="1:3" ht="16" x14ac:dyDescent="0.35">
      <c r="A30" s="47" t="s">
        <v>87</v>
      </c>
      <c r="B30" s="48">
        <v>3</v>
      </c>
      <c r="C30" s="53"/>
    </row>
    <row r="31" spans="1:3" ht="32" x14ac:dyDescent="0.35">
      <c r="A31" s="47" t="s">
        <v>88</v>
      </c>
      <c r="B31" s="48">
        <v>2</v>
      </c>
      <c r="C31" s="53"/>
    </row>
    <row r="32" spans="1:3" ht="16.5" thickBot="1" x14ac:dyDescent="0.45">
      <c r="A32" s="50" t="s">
        <v>89</v>
      </c>
      <c r="B32" s="51">
        <f>SUM(B29:B31)</f>
        <v>7</v>
      </c>
      <c r="C32" s="52" t="s">
        <v>90</v>
      </c>
    </row>
    <row r="34" spans="1:3" ht="15" thickBot="1" x14ac:dyDescent="0.4"/>
    <row r="35" spans="1:3" ht="16.5" thickBot="1" x14ac:dyDescent="0.4">
      <c r="A35" s="43" t="s">
        <v>91</v>
      </c>
    </row>
    <row r="36" spans="1:3" ht="16" x14ac:dyDescent="0.35">
      <c r="A36" s="44" t="s">
        <v>71</v>
      </c>
      <c r="B36" s="45" t="s">
        <v>53</v>
      </c>
      <c r="C36" s="46" t="s">
        <v>7</v>
      </c>
    </row>
    <row r="37" spans="1:3" ht="16" x14ac:dyDescent="0.35">
      <c r="A37" s="47" t="s">
        <v>92</v>
      </c>
      <c r="B37" s="48">
        <v>3</v>
      </c>
      <c r="C37" s="53"/>
    </row>
    <row r="38" spans="1:3" ht="32" x14ac:dyDescent="0.35">
      <c r="A38" s="47" t="s">
        <v>93</v>
      </c>
      <c r="B38" s="48">
        <v>2</v>
      </c>
      <c r="C38" s="53"/>
    </row>
    <row r="39" spans="1:3" ht="16" x14ac:dyDescent="0.35">
      <c r="A39" s="47" t="s">
        <v>94</v>
      </c>
      <c r="B39" s="48">
        <v>4</v>
      </c>
      <c r="C39" s="53"/>
    </row>
    <row r="40" spans="1:3" ht="16.5" thickBot="1" x14ac:dyDescent="0.45">
      <c r="A40" s="50" t="s">
        <v>95</v>
      </c>
      <c r="B40" s="51">
        <f>SUM(B37:B39)</f>
        <v>9</v>
      </c>
      <c r="C40" s="52" t="s">
        <v>77</v>
      </c>
    </row>
    <row r="42" spans="1:3" ht="15" thickBot="1" x14ac:dyDescent="0.4"/>
    <row r="43" spans="1:3" ht="16.5" thickBot="1" x14ac:dyDescent="0.4">
      <c r="A43" s="43" t="s">
        <v>96</v>
      </c>
    </row>
    <row r="44" spans="1:3" ht="16" x14ac:dyDescent="0.35">
      <c r="A44" s="44" t="s">
        <v>71</v>
      </c>
      <c r="B44" s="45" t="s">
        <v>53</v>
      </c>
      <c r="C44" s="46" t="s">
        <v>7</v>
      </c>
    </row>
    <row r="45" spans="1:3" ht="16" x14ac:dyDescent="0.35">
      <c r="A45" s="47" t="s">
        <v>97</v>
      </c>
      <c r="B45" s="48">
        <v>2</v>
      </c>
      <c r="C45" s="53"/>
    </row>
    <row r="46" spans="1:3" ht="16" x14ac:dyDescent="0.35">
      <c r="A46" s="47" t="s">
        <v>98</v>
      </c>
      <c r="B46" s="48">
        <v>3</v>
      </c>
      <c r="C46" s="53"/>
    </row>
    <row r="47" spans="1:3" ht="16" x14ac:dyDescent="0.35">
      <c r="A47" s="47" t="s">
        <v>99</v>
      </c>
      <c r="B47" s="48">
        <v>4</v>
      </c>
      <c r="C47" s="53"/>
    </row>
    <row r="48" spans="1:3" ht="16.5" thickBot="1" x14ac:dyDescent="0.45">
      <c r="A48" s="50" t="s">
        <v>100</v>
      </c>
      <c r="B48" s="51">
        <f>SUM(B45:B47)</f>
        <v>9</v>
      </c>
      <c r="C48" s="52" t="s">
        <v>77</v>
      </c>
    </row>
    <row r="50" spans="1:3" ht="15" thickBot="1" x14ac:dyDescent="0.4"/>
    <row r="51" spans="1:3" ht="16.5" thickBot="1" x14ac:dyDescent="0.4">
      <c r="A51" s="43" t="s">
        <v>101</v>
      </c>
    </row>
    <row r="52" spans="1:3" ht="16" x14ac:dyDescent="0.35">
      <c r="A52" s="44" t="s">
        <v>71</v>
      </c>
      <c r="B52" s="45" t="s">
        <v>53</v>
      </c>
      <c r="C52" s="46" t="s">
        <v>7</v>
      </c>
    </row>
    <row r="53" spans="1:3" ht="16" x14ac:dyDescent="0.35">
      <c r="A53" s="47" t="s">
        <v>102</v>
      </c>
      <c r="B53" s="48">
        <v>2</v>
      </c>
      <c r="C53" s="53"/>
    </row>
    <row r="54" spans="1:3" ht="16" x14ac:dyDescent="0.35">
      <c r="A54" s="47" t="s">
        <v>103</v>
      </c>
      <c r="B54" s="48">
        <v>3</v>
      </c>
      <c r="C54" s="53"/>
    </row>
    <row r="55" spans="1:3" ht="16" x14ac:dyDescent="0.35">
      <c r="A55" s="47" t="s">
        <v>104</v>
      </c>
      <c r="B55" s="48">
        <v>4</v>
      </c>
      <c r="C55" s="53"/>
    </row>
    <row r="56" spans="1:3" ht="16.5" thickBot="1" x14ac:dyDescent="0.45">
      <c r="A56" s="50" t="s">
        <v>105</v>
      </c>
      <c r="B56" s="51">
        <f>SUM(B53:B55)</f>
        <v>9</v>
      </c>
      <c r="C56" s="52" t="s">
        <v>77</v>
      </c>
    </row>
    <row r="58" spans="1:3" ht="15" thickBot="1" x14ac:dyDescent="0.4"/>
    <row r="59" spans="1:3" ht="16.5" thickBot="1" x14ac:dyDescent="0.4">
      <c r="A59" s="43" t="s">
        <v>106</v>
      </c>
    </row>
    <row r="60" spans="1:3" ht="16" x14ac:dyDescent="0.35">
      <c r="A60" s="44" t="s">
        <v>71</v>
      </c>
      <c r="B60" s="45" t="s">
        <v>53</v>
      </c>
      <c r="C60" s="46" t="s">
        <v>7</v>
      </c>
    </row>
    <row r="61" spans="1:3" ht="16" x14ac:dyDescent="0.35">
      <c r="A61" s="47" t="s">
        <v>107</v>
      </c>
      <c r="B61" s="48">
        <v>3</v>
      </c>
      <c r="C61" s="53"/>
    </row>
    <row r="62" spans="1:3" ht="32" x14ac:dyDescent="0.35">
      <c r="A62" s="47" t="s">
        <v>108</v>
      </c>
      <c r="B62" s="48">
        <v>4</v>
      </c>
      <c r="C62" s="53"/>
    </row>
    <row r="63" spans="1:3" ht="16" x14ac:dyDescent="0.35">
      <c r="A63" s="47" t="s">
        <v>109</v>
      </c>
      <c r="B63" s="48">
        <v>3</v>
      </c>
      <c r="C63" s="53"/>
    </row>
    <row r="64" spans="1:3" ht="16.5" thickBot="1" x14ac:dyDescent="0.45">
      <c r="A64" s="50" t="s">
        <v>110</v>
      </c>
      <c r="B64" s="51">
        <f>SUM(B61:B63)</f>
        <v>10</v>
      </c>
      <c r="C64" s="52" t="s">
        <v>77</v>
      </c>
    </row>
    <row r="65" spans="1:3" ht="16" x14ac:dyDescent="0.4">
      <c r="A65" s="38"/>
      <c r="B65" s="54"/>
      <c r="C65" s="55"/>
    </row>
    <row r="66" spans="1:3" ht="15" thickBot="1" x14ac:dyDescent="0.4"/>
    <row r="67" spans="1:3" ht="16.5" thickBot="1" x14ac:dyDescent="0.4">
      <c r="A67" s="43" t="s">
        <v>111</v>
      </c>
    </row>
    <row r="68" spans="1:3" ht="16" x14ac:dyDescent="0.35">
      <c r="A68" s="44" t="s">
        <v>71</v>
      </c>
      <c r="B68" s="45" t="s">
        <v>53</v>
      </c>
      <c r="C68" s="46" t="s">
        <v>7</v>
      </c>
    </row>
    <row r="69" spans="1:3" ht="16" x14ac:dyDescent="0.35">
      <c r="A69" s="47" t="s">
        <v>112</v>
      </c>
      <c r="B69" s="48">
        <v>2</v>
      </c>
      <c r="C69" s="53"/>
    </row>
    <row r="70" spans="1:3" ht="16" x14ac:dyDescent="0.35">
      <c r="A70" s="47" t="s">
        <v>113</v>
      </c>
      <c r="B70" s="48">
        <v>2</v>
      </c>
      <c r="C70" s="53"/>
    </row>
    <row r="71" spans="1:3" ht="16" x14ac:dyDescent="0.35">
      <c r="A71" s="47" t="s">
        <v>114</v>
      </c>
      <c r="B71" s="48">
        <v>3</v>
      </c>
      <c r="C71" s="53"/>
    </row>
    <row r="72" spans="1:3" ht="16.5" thickBot="1" x14ac:dyDescent="0.45">
      <c r="A72" s="50" t="s">
        <v>115</v>
      </c>
      <c r="B72" s="51">
        <f>SUM(B69:B71)</f>
        <v>7</v>
      </c>
      <c r="C72" s="52" t="s">
        <v>116</v>
      </c>
    </row>
    <row r="73" spans="1:3" ht="16" x14ac:dyDescent="0.4">
      <c r="A73" s="38"/>
      <c r="B73" s="54"/>
      <c r="C73" s="55"/>
    </row>
    <row r="74" spans="1:3" ht="16" x14ac:dyDescent="0.4">
      <c r="A74" s="56"/>
      <c r="B74" s="54"/>
      <c r="C74" s="55"/>
    </row>
    <row r="75" spans="1:3" ht="16.5" thickBot="1" x14ac:dyDescent="0.45">
      <c r="A75" s="56"/>
      <c r="B75" s="54"/>
      <c r="C75" s="55"/>
    </row>
    <row r="76" spans="1:3" ht="16.5" thickBot="1" x14ac:dyDescent="0.4">
      <c r="A76" s="43" t="s">
        <v>117</v>
      </c>
    </row>
    <row r="77" spans="1:3" ht="16" x14ac:dyDescent="0.35">
      <c r="A77" s="44" t="s">
        <v>2</v>
      </c>
      <c r="B77" s="45" t="s">
        <v>118</v>
      </c>
      <c r="C77" s="46" t="s">
        <v>24</v>
      </c>
    </row>
    <row r="78" spans="1:3" ht="16" x14ac:dyDescent="0.35">
      <c r="A78" s="47" t="s">
        <v>119</v>
      </c>
      <c r="B78" s="48">
        <f>B17</f>
        <v>6</v>
      </c>
      <c r="C78" s="49">
        <v>12</v>
      </c>
    </row>
    <row r="79" spans="1:3" ht="16" x14ac:dyDescent="0.35">
      <c r="A79" s="47" t="s">
        <v>120</v>
      </c>
      <c r="B79" s="48">
        <f>B25</f>
        <v>12</v>
      </c>
      <c r="C79" s="49">
        <v>16</v>
      </c>
    </row>
    <row r="80" spans="1:3" ht="16" x14ac:dyDescent="0.35">
      <c r="A80" s="47" t="s">
        <v>121</v>
      </c>
      <c r="B80" s="48">
        <f>B32</f>
        <v>7</v>
      </c>
      <c r="C80" s="49">
        <v>15</v>
      </c>
    </row>
    <row r="81" spans="1:3" ht="16" x14ac:dyDescent="0.35">
      <c r="A81" s="47" t="s">
        <v>122</v>
      </c>
      <c r="B81" s="48">
        <f>B40</f>
        <v>9</v>
      </c>
      <c r="C81" s="49">
        <v>12</v>
      </c>
    </row>
    <row r="82" spans="1:3" ht="16" x14ac:dyDescent="0.35">
      <c r="A82" s="47" t="s">
        <v>123</v>
      </c>
      <c r="B82" s="48">
        <f>B48</f>
        <v>9</v>
      </c>
      <c r="C82" s="49">
        <v>12</v>
      </c>
    </row>
    <row r="83" spans="1:3" ht="16" x14ac:dyDescent="0.35">
      <c r="A83" s="47" t="s">
        <v>124</v>
      </c>
      <c r="B83" s="48">
        <f>B56</f>
        <v>9</v>
      </c>
      <c r="C83" s="49">
        <v>12</v>
      </c>
    </row>
    <row r="84" spans="1:3" ht="16" x14ac:dyDescent="0.35">
      <c r="A84" s="47" t="s">
        <v>125</v>
      </c>
      <c r="B84" s="48">
        <f>B64</f>
        <v>10</v>
      </c>
      <c r="C84" s="49">
        <v>12</v>
      </c>
    </row>
    <row r="85" spans="1:3" ht="16" x14ac:dyDescent="0.35">
      <c r="A85" s="47" t="s">
        <v>126</v>
      </c>
      <c r="B85" s="48">
        <f>B72</f>
        <v>7</v>
      </c>
      <c r="C85" s="49">
        <v>9</v>
      </c>
    </row>
    <row r="86" spans="1:3" ht="16.5" thickBot="1" x14ac:dyDescent="0.45">
      <c r="A86" s="50" t="s">
        <v>127</v>
      </c>
      <c r="B86" s="51">
        <f>SUM(B78:B84)</f>
        <v>62</v>
      </c>
      <c r="C86" s="57">
        <f>SUM(C78:C85)</f>
        <v>100</v>
      </c>
    </row>
    <row r="87" spans="1:3" ht="16" x14ac:dyDescent="0.35">
      <c r="A87" s="38"/>
    </row>
    <row r="88" spans="1:3" ht="16" x14ac:dyDescent="0.35">
      <c r="A88" s="38" t="s">
        <v>128</v>
      </c>
    </row>
    <row r="89" spans="1:3" ht="16" x14ac:dyDescent="0.35">
      <c r="A89" s="38" t="s">
        <v>129</v>
      </c>
    </row>
    <row r="92" spans="1:3" ht="16" x14ac:dyDescent="0.35">
      <c r="A92" s="58" t="s">
        <v>130</v>
      </c>
    </row>
    <row r="96" spans="1:3" ht="16" x14ac:dyDescent="0.35">
      <c r="A96" s="58" t="s">
        <v>131</v>
      </c>
    </row>
    <row r="98" spans="1:1" x14ac:dyDescent="0.35">
      <c r="A98" s="59"/>
    </row>
    <row r="100" spans="1:1" ht="16" x14ac:dyDescent="0.35">
      <c r="A100" s="58" t="s">
        <v>132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0</xdr:col>
                    <xdr:colOff>69850</xdr:colOff>
                    <xdr:row>7</xdr:row>
                    <xdr:rowOff>114300</xdr:rowOff>
                  </from>
                  <to>
                    <xdr:col>0</xdr:col>
                    <xdr:colOff>1841500</xdr:colOff>
                    <xdr:row>8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1</xdr:col>
                    <xdr:colOff>1803400</xdr:colOff>
                    <xdr:row>7</xdr:row>
                    <xdr:rowOff>107950</xdr:rowOff>
                  </from>
                  <to>
                    <xdr:col>2</xdr:col>
                    <xdr:colOff>952500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1</xdr:col>
                    <xdr:colOff>3841750</xdr:colOff>
                    <xdr:row>7</xdr:row>
                    <xdr:rowOff>133350</xdr:rowOff>
                  </from>
                  <to>
                    <xdr:col>2</xdr:col>
                    <xdr:colOff>514350</xdr:colOff>
                    <xdr:row>8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627E-E6A1-46B1-BE00-420090805D5B}">
  <dimension ref="A1:F75"/>
  <sheetViews>
    <sheetView workbookViewId="0">
      <selection activeCell="C6" sqref="C6"/>
    </sheetView>
  </sheetViews>
  <sheetFormatPr defaultRowHeight="14.5" x14ac:dyDescent="0.35"/>
  <cols>
    <col min="1" max="1" width="80.1796875" customWidth="1"/>
    <col min="3" max="3" width="49.7265625" customWidth="1"/>
    <col min="5" max="5" width="25.26953125" bestFit="1" customWidth="1"/>
    <col min="6" max="6" width="58.81640625" customWidth="1"/>
  </cols>
  <sheetData>
    <row r="1" spans="1:6" ht="16" x14ac:dyDescent="0.35">
      <c r="A1" s="38" t="s">
        <v>50</v>
      </c>
      <c r="E1" s="38" t="s">
        <v>51</v>
      </c>
    </row>
    <row r="2" spans="1:6" ht="16" x14ac:dyDescent="0.35">
      <c r="A2" s="38" t="s">
        <v>52</v>
      </c>
      <c r="E2" s="39" t="s">
        <v>53</v>
      </c>
      <c r="F2" s="39" t="s">
        <v>54</v>
      </c>
    </row>
    <row r="3" spans="1:6" ht="16" x14ac:dyDescent="0.35">
      <c r="A3" s="38" t="s">
        <v>55</v>
      </c>
      <c r="E3" s="40" t="s">
        <v>56</v>
      </c>
      <c r="F3" s="41" t="s">
        <v>57</v>
      </c>
    </row>
    <row r="4" spans="1:6" ht="16" x14ac:dyDescent="0.35">
      <c r="A4" s="38" t="s">
        <v>58</v>
      </c>
      <c r="E4" s="40" t="s">
        <v>59</v>
      </c>
      <c r="F4" s="41" t="s">
        <v>60</v>
      </c>
    </row>
    <row r="5" spans="1:6" ht="16" x14ac:dyDescent="0.35">
      <c r="A5" s="38" t="s">
        <v>61</v>
      </c>
      <c r="E5" s="40" t="s">
        <v>62</v>
      </c>
      <c r="F5" s="41" t="s">
        <v>63</v>
      </c>
    </row>
    <row r="6" spans="1:6" ht="16" x14ac:dyDescent="0.35">
      <c r="A6" s="38" t="s">
        <v>64</v>
      </c>
      <c r="E6" s="40" t="s">
        <v>65</v>
      </c>
      <c r="F6" s="41" t="s">
        <v>66</v>
      </c>
    </row>
    <row r="7" spans="1:6" ht="16" x14ac:dyDescent="0.35">
      <c r="A7" s="38" t="s">
        <v>67</v>
      </c>
      <c r="E7" s="40" t="s">
        <v>68</v>
      </c>
      <c r="F7" s="41" t="s">
        <v>69</v>
      </c>
    </row>
    <row r="8" spans="1:6" ht="32.25" customHeight="1" x14ac:dyDescent="0.35">
      <c r="A8" s="42"/>
    </row>
    <row r="10" spans="1:6" ht="15" thickBot="1" x14ac:dyDescent="0.4"/>
    <row r="11" spans="1:6" ht="16.5" thickBot="1" x14ac:dyDescent="0.4">
      <c r="A11" s="43" t="s">
        <v>133</v>
      </c>
    </row>
    <row r="12" spans="1:6" ht="16" x14ac:dyDescent="0.35">
      <c r="A12" s="44" t="s">
        <v>71</v>
      </c>
      <c r="B12" s="45" t="s">
        <v>53</v>
      </c>
      <c r="C12" s="46" t="s">
        <v>7</v>
      </c>
    </row>
    <row r="13" spans="1:6" ht="16" x14ac:dyDescent="0.4">
      <c r="A13" s="60" t="s">
        <v>134</v>
      </c>
      <c r="B13" s="48">
        <v>3</v>
      </c>
      <c r="C13" s="49"/>
    </row>
    <row r="14" spans="1:6" ht="16" x14ac:dyDescent="0.4">
      <c r="A14" s="60" t="s">
        <v>135</v>
      </c>
      <c r="B14" s="48">
        <v>4</v>
      </c>
      <c r="C14" s="49"/>
    </row>
    <row r="15" spans="1:6" ht="16" x14ac:dyDescent="0.4">
      <c r="A15" s="60" t="s">
        <v>136</v>
      </c>
      <c r="B15" s="48">
        <v>4</v>
      </c>
      <c r="C15" s="49"/>
    </row>
    <row r="16" spans="1:6" ht="16.5" thickBot="1" x14ac:dyDescent="0.45">
      <c r="A16" s="60" t="s">
        <v>137</v>
      </c>
      <c r="B16" s="61">
        <v>3</v>
      </c>
      <c r="C16" s="62"/>
    </row>
    <row r="17" spans="1:3" ht="16.5" thickBot="1" x14ac:dyDescent="0.45">
      <c r="A17" s="63" t="s">
        <v>76</v>
      </c>
      <c r="B17" s="64">
        <f>SUM(B13:B16)</f>
        <v>14</v>
      </c>
      <c r="C17" s="65" t="s">
        <v>138</v>
      </c>
    </row>
    <row r="18" spans="1:3" ht="15" thickBot="1" x14ac:dyDescent="0.4"/>
    <row r="19" spans="1:3" ht="16.5" thickBot="1" x14ac:dyDescent="0.4">
      <c r="A19" s="43" t="s">
        <v>139</v>
      </c>
    </row>
    <row r="20" spans="1:3" ht="16" x14ac:dyDescent="0.35">
      <c r="A20" s="44" t="s">
        <v>71</v>
      </c>
      <c r="B20" s="45" t="s">
        <v>53</v>
      </c>
      <c r="C20" s="46" t="s">
        <v>7</v>
      </c>
    </row>
    <row r="21" spans="1:3" ht="16" x14ac:dyDescent="0.35">
      <c r="A21" s="47" t="s">
        <v>79</v>
      </c>
      <c r="B21" s="48">
        <v>4</v>
      </c>
      <c r="C21" s="49"/>
    </row>
    <row r="22" spans="1:3" ht="16" x14ac:dyDescent="0.4">
      <c r="A22" s="60" t="s">
        <v>140</v>
      </c>
      <c r="B22" s="48">
        <v>4</v>
      </c>
      <c r="C22" s="49"/>
    </row>
    <row r="23" spans="1:3" ht="16" x14ac:dyDescent="0.35">
      <c r="A23" s="47" t="s">
        <v>81</v>
      </c>
      <c r="B23" s="48">
        <v>5</v>
      </c>
      <c r="C23" s="49"/>
    </row>
    <row r="24" spans="1:3" ht="16.5" thickBot="1" x14ac:dyDescent="0.4">
      <c r="A24" s="66" t="s">
        <v>82</v>
      </c>
      <c r="B24" s="61">
        <v>4</v>
      </c>
      <c r="C24" s="62"/>
    </row>
    <row r="25" spans="1:3" ht="16.5" thickBot="1" x14ac:dyDescent="0.45">
      <c r="A25" s="63" t="s">
        <v>83</v>
      </c>
      <c r="B25" s="64">
        <f>SUM(B21:B24)</f>
        <v>17</v>
      </c>
      <c r="C25" s="65" t="s">
        <v>138</v>
      </c>
    </row>
    <row r="26" spans="1:3" ht="15" thickBot="1" x14ac:dyDescent="0.4"/>
    <row r="27" spans="1:3" ht="16.5" thickBot="1" x14ac:dyDescent="0.4">
      <c r="A27" s="43" t="s">
        <v>141</v>
      </c>
    </row>
    <row r="28" spans="1:3" ht="16" x14ac:dyDescent="0.35">
      <c r="A28" s="44" t="s">
        <v>71</v>
      </c>
      <c r="B28" s="45" t="s">
        <v>53</v>
      </c>
      <c r="C28" s="46" t="s">
        <v>7</v>
      </c>
    </row>
    <row r="29" spans="1:3" ht="16" x14ac:dyDescent="0.35">
      <c r="A29" s="47" t="s">
        <v>142</v>
      </c>
      <c r="B29" s="48">
        <v>4</v>
      </c>
      <c r="C29" s="53"/>
    </row>
    <row r="30" spans="1:3" ht="16" x14ac:dyDescent="0.4">
      <c r="A30" s="60" t="s">
        <v>143</v>
      </c>
      <c r="B30" s="48">
        <v>3</v>
      </c>
      <c r="C30" s="53"/>
    </row>
    <row r="31" spans="1:3" ht="16" x14ac:dyDescent="0.35">
      <c r="A31" s="47" t="s">
        <v>144</v>
      </c>
      <c r="B31" s="48">
        <v>4</v>
      </c>
      <c r="C31" s="53"/>
    </row>
    <row r="32" spans="1:3" ht="16.5" thickBot="1" x14ac:dyDescent="0.4">
      <c r="A32" s="66" t="s">
        <v>145</v>
      </c>
      <c r="B32" s="61">
        <v>3</v>
      </c>
      <c r="C32" s="67"/>
    </row>
    <row r="33" spans="1:3" ht="16.5" thickBot="1" x14ac:dyDescent="0.45">
      <c r="A33" s="63" t="s">
        <v>89</v>
      </c>
      <c r="B33" s="64">
        <f>SUM(B29:B32)</f>
        <v>14</v>
      </c>
      <c r="C33" s="65" t="s">
        <v>138</v>
      </c>
    </row>
    <row r="35" spans="1:3" ht="15" thickBot="1" x14ac:dyDescent="0.4"/>
    <row r="36" spans="1:3" ht="16.5" thickBot="1" x14ac:dyDescent="0.45">
      <c r="A36" s="68" t="s">
        <v>146</v>
      </c>
    </row>
    <row r="37" spans="1:3" ht="16" x14ac:dyDescent="0.35">
      <c r="A37" s="44" t="s">
        <v>71</v>
      </c>
      <c r="B37" s="45" t="s">
        <v>53</v>
      </c>
      <c r="C37" s="46" t="s">
        <v>7</v>
      </c>
    </row>
    <row r="38" spans="1:3" ht="16" x14ac:dyDescent="0.35">
      <c r="A38" s="47" t="s">
        <v>92</v>
      </c>
      <c r="B38" s="48">
        <v>3</v>
      </c>
      <c r="C38" s="53"/>
    </row>
    <row r="39" spans="1:3" ht="16" x14ac:dyDescent="0.35">
      <c r="A39" s="47" t="s">
        <v>147</v>
      </c>
      <c r="B39" s="48">
        <v>3</v>
      </c>
      <c r="C39" s="53"/>
    </row>
    <row r="40" spans="1:3" ht="16" x14ac:dyDescent="0.35">
      <c r="A40" s="47" t="s">
        <v>148</v>
      </c>
      <c r="B40" s="48">
        <v>3</v>
      </c>
      <c r="C40" s="53"/>
    </row>
    <row r="41" spans="1:3" ht="16.5" thickBot="1" x14ac:dyDescent="0.4">
      <c r="A41" s="66" t="s">
        <v>149</v>
      </c>
      <c r="B41" s="61">
        <v>3</v>
      </c>
      <c r="C41" s="67"/>
    </row>
    <row r="42" spans="1:3" ht="16.5" thickBot="1" x14ac:dyDescent="0.45">
      <c r="A42" s="63" t="s">
        <v>95</v>
      </c>
      <c r="B42" s="64">
        <f>SUM(B38:B41)</f>
        <v>12</v>
      </c>
      <c r="C42" s="65" t="s">
        <v>138</v>
      </c>
    </row>
    <row r="44" spans="1:3" ht="15" thickBot="1" x14ac:dyDescent="0.4"/>
    <row r="45" spans="1:3" ht="16.5" thickBot="1" x14ac:dyDescent="0.4">
      <c r="A45" s="43" t="s">
        <v>150</v>
      </c>
    </row>
    <row r="46" spans="1:3" ht="16" x14ac:dyDescent="0.35">
      <c r="A46" s="44" t="s">
        <v>71</v>
      </c>
      <c r="B46" s="45" t="s">
        <v>53</v>
      </c>
      <c r="C46" s="46" t="s">
        <v>7</v>
      </c>
    </row>
    <row r="47" spans="1:3" ht="16" x14ac:dyDescent="0.35">
      <c r="A47" s="47" t="s">
        <v>97</v>
      </c>
      <c r="B47" s="48">
        <v>2</v>
      </c>
      <c r="C47" s="53"/>
    </row>
    <row r="48" spans="1:3" ht="16" x14ac:dyDescent="0.35">
      <c r="A48" s="47" t="s">
        <v>98</v>
      </c>
      <c r="B48" s="48">
        <v>3</v>
      </c>
      <c r="C48" s="53"/>
    </row>
    <row r="49" spans="1:3" ht="16" x14ac:dyDescent="0.4">
      <c r="A49" s="60" t="s">
        <v>151</v>
      </c>
      <c r="B49" s="48">
        <v>5</v>
      </c>
      <c r="C49" s="53"/>
    </row>
    <row r="50" spans="1:3" ht="16.5" thickBot="1" x14ac:dyDescent="0.4">
      <c r="A50" s="66" t="s">
        <v>99</v>
      </c>
      <c r="B50" s="61">
        <v>4</v>
      </c>
      <c r="C50" s="67"/>
    </row>
    <row r="51" spans="1:3" ht="16.5" thickBot="1" x14ac:dyDescent="0.45">
      <c r="A51" s="63" t="s">
        <v>100</v>
      </c>
      <c r="B51" s="64">
        <f>SUM(B47:B50)</f>
        <v>14</v>
      </c>
      <c r="C51" s="65" t="s">
        <v>138</v>
      </c>
    </row>
    <row r="53" spans="1:3" ht="16.5" thickBot="1" x14ac:dyDescent="0.45">
      <c r="A53" s="56"/>
      <c r="B53" s="54"/>
      <c r="C53" s="55"/>
    </row>
    <row r="54" spans="1:3" ht="16.5" thickBot="1" x14ac:dyDescent="0.4">
      <c r="A54" s="43" t="s">
        <v>117</v>
      </c>
    </row>
    <row r="55" spans="1:3" ht="16" x14ac:dyDescent="0.35">
      <c r="A55" s="44" t="s">
        <v>2</v>
      </c>
      <c r="B55" s="45" t="s">
        <v>118</v>
      </c>
      <c r="C55" s="46" t="s">
        <v>24</v>
      </c>
    </row>
    <row r="56" spans="1:3" ht="16" x14ac:dyDescent="0.35">
      <c r="A56" s="47" t="s">
        <v>152</v>
      </c>
      <c r="B56" s="48">
        <f>B17</f>
        <v>14</v>
      </c>
      <c r="C56" s="49">
        <v>20</v>
      </c>
    </row>
    <row r="57" spans="1:3" ht="16" x14ac:dyDescent="0.35">
      <c r="A57" s="47" t="s">
        <v>120</v>
      </c>
      <c r="B57" s="48">
        <f>B25</f>
        <v>17</v>
      </c>
      <c r="C57" s="49">
        <v>20</v>
      </c>
    </row>
    <row r="58" spans="1:3" ht="16" x14ac:dyDescent="0.35">
      <c r="A58" s="47" t="s">
        <v>153</v>
      </c>
      <c r="B58" s="48">
        <f>B33</f>
        <v>14</v>
      </c>
      <c r="C58" s="49">
        <v>20</v>
      </c>
    </row>
    <row r="59" spans="1:3" ht="16" x14ac:dyDescent="0.35">
      <c r="A59" s="47" t="s">
        <v>154</v>
      </c>
      <c r="B59" s="48">
        <f>B42</f>
        <v>12</v>
      </c>
      <c r="C59" s="49">
        <v>20</v>
      </c>
    </row>
    <row r="60" spans="1:3" ht="16.5" thickBot="1" x14ac:dyDescent="0.4">
      <c r="A60" s="66" t="s">
        <v>155</v>
      </c>
      <c r="B60" s="61">
        <f>B51</f>
        <v>14</v>
      </c>
      <c r="C60" s="62">
        <v>20</v>
      </c>
    </row>
    <row r="61" spans="1:3" ht="16.5" thickBot="1" x14ac:dyDescent="0.45">
      <c r="A61" s="63" t="s">
        <v>127</v>
      </c>
      <c r="B61" s="64">
        <f>SUM(B56:B60)</f>
        <v>71</v>
      </c>
      <c r="C61" s="69">
        <f>SUM(C56:C60)</f>
        <v>100</v>
      </c>
    </row>
    <row r="62" spans="1:3" ht="16" x14ac:dyDescent="0.35">
      <c r="A62" s="38"/>
    </row>
    <row r="63" spans="1:3" ht="16" x14ac:dyDescent="0.35">
      <c r="A63" s="38" t="s">
        <v>128</v>
      </c>
    </row>
    <row r="64" spans="1:3" ht="16" x14ac:dyDescent="0.35">
      <c r="A64" s="38" t="s">
        <v>129</v>
      </c>
    </row>
    <row r="67" spans="1:1" ht="16" x14ac:dyDescent="0.35">
      <c r="A67" s="58" t="s">
        <v>130</v>
      </c>
    </row>
    <row r="71" spans="1:1" ht="16" x14ac:dyDescent="0.35">
      <c r="A71" s="58" t="s">
        <v>131</v>
      </c>
    </row>
    <row r="73" spans="1:1" x14ac:dyDescent="0.35">
      <c r="A73" s="59"/>
    </row>
    <row r="75" spans="1:1" ht="16" x14ac:dyDescent="0.35">
      <c r="A75" s="58" t="s">
        <v>132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Check Box 1">
              <controlPr defaultSize="0" autoFill="0" autoLine="0" autoPict="0">
                <anchor moveWithCells="1">
                  <from>
                    <xdr:col>0</xdr:col>
                    <xdr:colOff>69850</xdr:colOff>
                    <xdr:row>7</xdr:row>
                    <xdr:rowOff>114300</xdr:rowOff>
                  </from>
                  <to>
                    <xdr:col>0</xdr:col>
                    <xdr:colOff>1841500</xdr:colOff>
                    <xdr:row>8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Check Box 2">
              <controlPr defaultSize="0" autoFill="0" autoLine="0" autoPict="0">
                <anchor moveWithCells="1">
                  <from>
                    <xdr:col>1</xdr:col>
                    <xdr:colOff>1803400</xdr:colOff>
                    <xdr:row>7</xdr:row>
                    <xdr:rowOff>107950</xdr:rowOff>
                  </from>
                  <to>
                    <xdr:col>2</xdr:col>
                    <xdr:colOff>952500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1</xdr:col>
                    <xdr:colOff>3841750</xdr:colOff>
                    <xdr:row>7</xdr:row>
                    <xdr:rowOff>133350</xdr:rowOff>
                  </from>
                  <to>
                    <xdr:col>2</xdr:col>
                    <xdr:colOff>514350</xdr:colOff>
                    <xdr:row>8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267B-F89E-40B4-8E79-0C8690508BAB}">
  <dimension ref="A1"/>
  <sheetViews>
    <sheetView tabSelected="1" topLeftCell="A6" workbookViewId="0">
      <selection activeCell="N17" sqref="N17"/>
    </sheetView>
  </sheetViews>
  <sheetFormatPr defaultRowHeight="14.5" x14ac:dyDescent="0.35"/>
  <sheetData>
    <row r="1" spans="1:1" ht="18.5" x14ac:dyDescent="0.45">
      <c r="A1" s="70" t="s">
        <v>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Pre_Training_Eval</vt:lpstr>
      <vt:lpstr>Training feedback_Post-Train</vt:lpstr>
      <vt:lpstr>Outcome capture</vt:lpstr>
      <vt:lpstr>Trainers_Comparison</vt:lpstr>
      <vt:lpstr>Trainer Form_Virtual</vt:lpstr>
      <vt:lpstr>Trainer Form_Classroom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2026-01-05T14:29:02Z</dcterms:created>
  <dcterms:modified xsi:type="dcterms:W3CDTF">2026-01-05T17:26:53Z</dcterms:modified>
</cp:coreProperties>
</file>